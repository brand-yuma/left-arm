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rX0Wiy9yJ54oCsbJT/5wLHDNno5p3lhe93UUNBB6XU="/>
    </ext>
  </extLst>
</workbook>
</file>

<file path=xl/sharedStrings.xml><?xml version="1.0" encoding="utf-8"?>
<sst xmlns="http://schemas.openxmlformats.org/spreadsheetml/2006/main" count="30" uniqueCount="20">
  <si>
    <t>宅急便</t>
  </si>
  <si>
    <t>商品区分</t>
  </si>
  <si>
    <t>税込販売価格</t>
  </si>
  <si>
    <t>資材費</t>
  </si>
  <si>
    <t>出荷業務人件費</t>
  </si>
  <si>
    <t>送料</t>
  </si>
  <si>
    <t>発送サイズ</t>
  </si>
  <si>
    <t>合計</t>
  </si>
  <si>
    <t>精米5kg</t>
  </si>
  <si>
    <t>100サイズ</t>
  </si>
  <si>
    <t>精米10kg</t>
  </si>
  <si>
    <t>120サイズ</t>
  </si>
  <si>
    <t>精米29kg</t>
  </si>
  <si>
    <t>180サイズ</t>
  </si>
  <si>
    <t>玄米10kg</t>
  </si>
  <si>
    <t>玄米29kg</t>
  </si>
  <si>
    <t>店頭</t>
  </si>
  <si>
    <t>全国発送</t>
  </si>
  <si>
    <t>精米30kg</t>
  </si>
  <si>
    <t>玄米30kg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</si>
</sst>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¥-411]#,##0"/>
    <numFmt numFmtId="165" formatCode="&quot;¥&quot;#,##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1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2CC"/>
      </left>
      <right style="thin">
        <color rgb="FF284E3F"/>
      </right>
      <top style="thin">
        <color rgb="FFFFF2CC"/>
      </top>
      <bottom style="thin">
        <color rgb="FFFFF2CC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horizontal="center" readingOrder="0" vertical="top"/>
    </xf>
    <xf borderId="0" fillId="0" fontId="1" numFmtId="0" xfId="0" applyAlignment="1" applyFont="1">
      <alignment horizontal="center" readingOrder="0" vertical="top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center" readingOrder="0" shrinkToFit="0" vertical="top" wrapText="0"/>
    </xf>
    <xf borderId="4" fillId="0" fontId="3" numFmtId="0" xfId="0" applyAlignment="1" applyBorder="1" applyFont="1">
      <alignment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5" fillId="0" fontId="3" numFmtId="164" xfId="0" applyAlignment="1" applyBorder="1" applyFont="1" applyNumberFormat="1">
      <alignment readingOrder="0" shrinkToFit="0" vertical="center" wrapText="0"/>
    </xf>
    <xf borderId="5" fillId="0" fontId="3" numFmtId="164" xfId="0" applyAlignment="1" applyBorder="1" applyFont="1" applyNumberFormat="1">
      <alignment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6" fillId="2" fontId="3" numFmtId="164" xfId="0" applyAlignment="1" applyBorder="1" applyFont="1" applyNumberFormat="1">
      <alignment readingOrder="0" shrinkToFit="0" vertical="center" wrapText="0"/>
    </xf>
    <xf borderId="7" fillId="0" fontId="3" numFmtId="0" xfId="0" applyAlignment="1" applyBorder="1" applyFont="1">
      <alignment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8" fillId="0" fontId="3" numFmtId="164" xfId="0" applyAlignment="1" applyBorder="1" applyFont="1" applyNumberFormat="1">
      <alignment readingOrder="0" shrinkToFit="0" vertical="center" wrapText="0"/>
    </xf>
    <xf borderId="8" fillId="0" fontId="3" numFmtId="164" xfId="0" applyAlignment="1" applyBorder="1" applyFont="1" applyNumberFormat="1">
      <alignment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4" fillId="0" fontId="3" numFmtId="0" xfId="0" applyAlignment="1" applyBorder="1" applyFont="1">
      <alignment readingOrder="0" shrinkToFit="0" vertical="center" wrapText="0"/>
    </xf>
    <xf borderId="8" fillId="0" fontId="3" numFmtId="0" xfId="0" applyAlignment="1" applyBorder="1" applyFont="1">
      <alignment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shrinkToFit="0" vertical="center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8" fillId="0" fontId="3" numFmtId="165" xfId="0" applyAlignment="1" applyBorder="1" applyFont="1" applyNumberFormat="1">
      <alignment readingOrder="0" shrinkToFit="0" vertical="center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5" fillId="0" fontId="3" numFmtId="165" xfId="0" applyAlignment="1" applyBorder="1" applyFont="1" applyNumberFormat="1">
      <alignment readingOrder="0" shrinkToFit="0" vertical="center" wrapText="0"/>
    </xf>
    <xf borderId="8" fillId="0" fontId="4" numFmtId="0" xfId="0" applyAlignment="1" applyBorder="1" applyFont="1">
      <alignment readingOrder="0"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readingOrder="0" shrinkToFit="0" vertical="bottom" wrapText="0"/>
    </xf>
    <xf borderId="10" fillId="0" fontId="3" numFmtId="165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G15" displayName="表_1" name="表_1" id="1">
  <tableColumns count="7">
    <tableColumn name="商品区分" id="1"/>
    <tableColumn name="税込販売価格" id="2"/>
    <tableColumn name="資材費" id="3"/>
    <tableColumn name="出荷業務人件費" id="4"/>
    <tableColumn name="送料" id="5"/>
    <tableColumn name="発送サイズ" id="6"/>
    <tableColumn name="合計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22.57"/>
    <col customWidth="1" min="3" max="3" width="12.57"/>
    <col customWidth="1" min="4" max="4" width="21.0"/>
    <col customWidth="1" min="5" max="5" width="10.43"/>
    <col customWidth="1" min="6" max="6" width="16.71"/>
    <col customWidth="1" min="7" max="7" width="10.43"/>
    <col customWidth="1" min="8" max="8" width="11.57"/>
    <col customWidth="1" min="9" max="25" width="8.71"/>
  </cols>
  <sheetData>
    <row r="1">
      <c r="A1" s="1" t="s">
        <v>0</v>
      </c>
      <c r="B1" s="2"/>
      <c r="C1" s="2"/>
      <c r="D1" s="1"/>
      <c r="E1" s="1"/>
      <c r="F1" s="3"/>
      <c r="G1" s="4"/>
    </row>
    <row r="2">
      <c r="A2" s="5"/>
      <c r="B2" s="5"/>
      <c r="C2" s="5"/>
      <c r="D2" s="1"/>
      <c r="E2" s="1"/>
      <c r="F2" s="3"/>
      <c r="G2" s="1"/>
    </row>
    <row r="3">
      <c r="A3" s="6" t="s">
        <v>1</v>
      </c>
      <c r="B3" s="7" t="s">
        <v>2</v>
      </c>
      <c r="C3" s="7" t="s">
        <v>3</v>
      </c>
      <c r="D3" s="8" t="s">
        <v>4</v>
      </c>
      <c r="E3" s="8" t="s">
        <v>5</v>
      </c>
      <c r="F3" s="9" t="s">
        <v>6</v>
      </c>
      <c r="G3" s="10" t="s">
        <v>7</v>
      </c>
    </row>
    <row r="4">
      <c r="A4" s="11" t="s">
        <v>8</v>
      </c>
      <c r="B4" s="12">
        <v>2750.0</v>
      </c>
      <c r="C4" s="13">
        <v>300.0</v>
      </c>
      <c r="D4" s="14">
        <v>200.0</v>
      </c>
      <c r="E4" s="13">
        <v>960.0</v>
      </c>
      <c r="F4" s="15" t="s">
        <v>9</v>
      </c>
      <c r="G4" s="16">
        <f t="shared" ref="G4:G8" si="1">SUM(B4:E4)</f>
        <v>4210</v>
      </c>
    </row>
    <row r="5">
      <c r="A5" s="17" t="s">
        <v>10</v>
      </c>
      <c r="B5" s="18">
        <v>5500.0</v>
      </c>
      <c r="C5" s="19">
        <v>300.0</v>
      </c>
      <c r="D5" s="20">
        <v>200.0</v>
      </c>
      <c r="E5" s="19">
        <v>1160.0</v>
      </c>
      <c r="F5" s="21" t="s">
        <v>11</v>
      </c>
      <c r="G5" s="16">
        <f t="shared" si="1"/>
        <v>7160</v>
      </c>
    </row>
    <row r="6">
      <c r="A6" s="22" t="s">
        <v>12</v>
      </c>
      <c r="B6" s="12">
        <v>16000.0</v>
      </c>
      <c r="C6" s="13">
        <v>300.0</v>
      </c>
      <c r="D6" s="14">
        <v>200.0</v>
      </c>
      <c r="E6" s="13">
        <v>2180.0</v>
      </c>
      <c r="F6" s="15" t="s">
        <v>13</v>
      </c>
      <c r="G6" s="16">
        <f t="shared" si="1"/>
        <v>18680</v>
      </c>
    </row>
    <row r="7">
      <c r="A7" s="17" t="s">
        <v>14</v>
      </c>
      <c r="B7" s="18">
        <v>4950.0</v>
      </c>
      <c r="C7" s="19">
        <v>300.0</v>
      </c>
      <c r="D7" s="20">
        <v>200.0</v>
      </c>
      <c r="E7" s="19">
        <v>1160.0</v>
      </c>
      <c r="F7" s="21" t="s">
        <v>11</v>
      </c>
      <c r="G7" s="16">
        <f t="shared" si="1"/>
        <v>6610</v>
      </c>
    </row>
    <row r="8">
      <c r="A8" s="22" t="s">
        <v>15</v>
      </c>
      <c r="B8" s="12">
        <v>14300.0</v>
      </c>
      <c r="C8" s="13">
        <v>300.0</v>
      </c>
      <c r="D8" s="14">
        <v>200.0</v>
      </c>
      <c r="E8" s="13">
        <v>2180.0</v>
      </c>
      <c r="F8" s="15" t="s">
        <v>13</v>
      </c>
      <c r="G8" s="16">
        <f t="shared" si="1"/>
        <v>16980</v>
      </c>
    </row>
    <row r="9">
      <c r="B9" s="23"/>
    </row>
    <row r="10">
      <c r="A10" s="24" t="s">
        <v>16</v>
      </c>
      <c r="B10" s="25"/>
      <c r="D10" s="15" t="s">
        <v>17</v>
      </c>
    </row>
    <row r="11">
      <c r="A11" s="26" t="s">
        <v>8</v>
      </c>
      <c r="B11" s="27">
        <v>2750.0</v>
      </c>
      <c r="D11" s="28" t="s">
        <v>8</v>
      </c>
      <c r="E11" s="29">
        <v>4200.0</v>
      </c>
    </row>
    <row r="12">
      <c r="A12" s="30" t="s">
        <v>10</v>
      </c>
      <c r="B12" s="31">
        <v>5500.0</v>
      </c>
      <c r="D12" s="32" t="s">
        <v>10</v>
      </c>
      <c r="E12" s="33">
        <v>7100.0</v>
      </c>
    </row>
    <row r="13">
      <c r="A13" s="26" t="s">
        <v>18</v>
      </c>
      <c r="B13" s="27">
        <v>16500.0</v>
      </c>
      <c r="D13" s="34" t="s">
        <v>12</v>
      </c>
      <c r="E13" s="29">
        <v>18600.0</v>
      </c>
    </row>
    <row r="14">
      <c r="A14" s="30" t="s">
        <v>14</v>
      </c>
      <c r="B14" s="31">
        <v>4950.0</v>
      </c>
      <c r="D14" s="32" t="s">
        <v>14</v>
      </c>
      <c r="E14" s="33">
        <v>6600.0</v>
      </c>
    </row>
    <row r="15">
      <c r="A15" s="35" t="s">
        <v>19</v>
      </c>
      <c r="B15" s="36">
        <v>14850.0</v>
      </c>
      <c r="D15" s="37" t="s">
        <v>15</v>
      </c>
      <c r="E15" s="38">
        <v>17000.0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ataValidations>
    <dataValidation type="custom" allowBlank="1" showDropDown="1" sqref="B4:B15">
      <formula1>AND(ISNUMBER(B4),(NOT(OR(NOT(ISERROR(DATEVALUE(B4))), AND(ISNUMBER(B4), LEFT(CELL("format", B4))="D")))))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2025-06-25T04:58:20Z</dcterms:created>
</cp:coreProperties>
</file>